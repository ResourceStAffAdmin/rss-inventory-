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ourcestaff-my.sharepoint.com/personal/it_resourcestaff_com_ph/Documents/"/>
    </mc:Choice>
  </mc:AlternateContent>
  <xr:revisionPtr revIDLastSave="1169" documentId="8_{22DC039B-0E1F-49AF-97C7-B16B425D3BA8}" xr6:coauthVersionLast="47" xr6:coauthVersionMax="47" xr10:uidLastSave="{F02C79AA-970D-4067-8F5C-2F32C115D910}"/>
  <bookViews>
    <workbookView xWindow="-96" yWindow="-96" windowWidth="23232" windowHeight="12432" xr2:uid="{453CDDEB-8EBF-4FD8-BF24-BC1776AD23AB}"/>
  </bookViews>
  <sheets>
    <sheet name="STOCKS" sheetId="1" r:id="rId1"/>
    <sheet name="LAPTOP" sheetId="2" r:id="rId2"/>
    <sheet name="PC" sheetId="3" r:id="rId3"/>
    <sheet name="Sheet1" sheetId="4" r:id="rId4"/>
  </sheets>
  <definedNames>
    <definedName name="_xlnm.Print_Area" localSheetId="0">STOCKS!$A$1:$P$25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G22" i="1"/>
  <c r="C22" i="1"/>
  <c r="K5" i="1"/>
  <c r="D21" i="1"/>
  <c r="C21" i="1" s="1"/>
  <c r="D6" i="1"/>
  <c r="C6" i="1" s="1"/>
  <c r="G21" i="1"/>
  <c r="O6" i="1"/>
  <c r="K8" i="1"/>
  <c r="D4" i="1" s="1"/>
  <c r="C4" i="1" s="1"/>
  <c r="K7" i="1"/>
  <c r="K24" i="1"/>
  <c r="K22" i="1"/>
  <c r="D18" i="1" s="1"/>
  <c r="C18" i="1" s="1"/>
  <c r="K23" i="1"/>
  <c r="D19" i="1" s="1"/>
  <c r="C19" i="1" s="1"/>
  <c r="K21" i="1"/>
  <c r="D17" i="1" s="1"/>
  <c r="C17" i="1" s="1"/>
  <c r="K20" i="1"/>
  <c r="D16" i="1" s="1"/>
  <c r="C16" i="1" s="1"/>
  <c r="K19" i="1"/>
  <c r="D15" i="1" s="1"/>
  <c r="C15" i="1" s="1"/>
  <c r="K18" i="1"/>
  <c r="D14" i="1" s="1"/>
  <c r="C14" i="1" s="1"/>
  <c r="K17" i="1"/>
  <c r="D13" i="1" s="1"/>
  <c r="C13" i="1" s="1"/>
  <c r="D20" i="1"/>
  <c r="C20" i="1" s="1"/>
  <c r="K16" i="1"/>
  <c r="D12" i="1" s="1"/>
  <c r="C12" i="1" s="1"/>
  <c r="K15" i="1"/>
  <c r="D11" i="1" s="1"/>
  <c r="C11" i="1" s="1"/>
  <c r="K14" i="1"/>
  <c r="D10" i="1" s="1"/>
  <c r="C10" i="1" s="1"/>
  <c r="K13" i="1"/>
  <c r="C9" i="1" s="1"/>
  <c r="K12" i="1"/>
  <c r="D8" i="1" s="1"/>
  <c r="C8" i="1" s="1"/>
  <c r="K11" i="1"/>
  <c r="D7" i="1" s="1"/>
  <c r="C7" i="1" s="1"/>
  <c r="D5" i="1"/>
  <c r="C5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3" i="1"/>
  <c r="C3" i="1" l="1"/>
  <c r="P9" i="1" s="1" a="1"/>
  <c r="P9" i="1" l="1"/>
  <c r="O9" i="1" a="1"/>
  <c r="N9" i="1" a="1"/>
  <c r="N9" i="1" l="1"/>
  <c r="O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<sst xmlns="http://schemas.openxmlformats.org/spreadsheetml/2006/main" count="438" uniqueCount="210">
  <si>
    <t>INVENTORY</t>
  </si>
  <si>
    <t>STOCKS DETAILED</t>
  </si>
  <si>
    <t xml:space="preserve">WATCHGUARD </t>
  </si>
  <si>
    <t>ID</t>
  </si>
  <si>
    <t>Category</t>
  </si>
  <si>
    <t>Available Stocks</t>
  </si>
  <si>
    <t>Total in (+)</t>
  </si>
  <si>
    <t>Total Out (-)</t>
  </si>
  <si>
    <t>Last Update</t>
  </si>
  <si>
    <t>ITEM</t>
  </si>
  <si>
    <t>TOTAL STOCKS</t>
  </si>
  <si>
    <t>REMARKS</t>
  </si>
  <si>
    <t>INSTALLED</t>
  </si>
  <si>
    <t>AVAILABLE</t>
  </si>
  <si>
    <t>TOTAL ALLOCATED ENDPOINTS</t>
  </si>
  <si>
    <t>INV-01</t>
  </si>
  <si>
    <t>LAPTOP</t>
  </si>
  <si>
    <t>AOC MONITOR</t>
  </si>
  <si>
    <t>INV-02</t>
  </si>
  <si>
    <t>PC</t>
  </si>
  <si>
    <t>VIEWSONIC MONITOR</t>
  </si>
  <si>
    <t>INV-03</t>
  </si>
  <si>
    <t>LAPTOP BAGS</t>
  </si>
  <si>
    <t>LAPTOP (DELL)</t>
  </si>
  <si>
    <t xml:space="preserve"> </t>
  </si>
  <si>
    <t>INV-04</t>
  </si>
  <si>
    <t>MONITORS</t>
  </si>
  <si>
    <t>LAPTOP LENOVO</t>
  </si>
  <si>
    <t>1 UNIT WILL SEND OUT TO MERCHANT FOR SERVICE</t>
  </si>
  <si>
    <t>As of:</t>
  </si>
  <si>
    <t>INV-05</t>
  </si>
  <si>
    <t>MOUSE + KEYBOARD WIRED</t>
  </si>
  <si>
    <t>LAPTOP (ACER)</t>
  </si>
  <si>
    <t>RETURN TO MERCHANT/FOR REPLACEMENT</t>
  </si>
  <si>
    <t>INV-06</t>
  </si>
  <si>
    <t>WIRED KEYBOARD</t>
  </si>
  <si>
    <t xml:space="preserve">DESKTOP (NEW)
</t>
  </si>
  <si>
    <t>Intel Core i5 14400 (20M Cache, up to 4.70 GHz), 
Windows 11 Pro, 16 gb ram,
Gigabyte GeForce RTX 3050 Windforce OC v2 8Gb DDR5</t>
  </si>
  <si>
    <t>INV-07</t>
  </si>
  <si>
    <t>WIRED MOUSE</t>
  </si>
  <si>
    <t>DESKTOP (OPTIPLEX)</t>
  </si>
  <si>
    <t>FOR FORMAT; LOW STORAGE : 
8gb RAM installed not fit to standard specs</t>
  </si>
  <si>
    <t>INV-08</t>
  </si>
  <si>
    <t>WIRELESS MOUSE</t>
  </si>
  <si>
    <t>INV-09</t>
  </si>
  <si>
    <t>WEBCAM</t>
  </si>
  <si>
    <t>INV-10</t>
  </si>
  <si>
    <t>HEADSET</t>
  </si>
  <si>
    <t>INV-11</t>
  </si>
  <si>
    <t>UPS</t>
  </si>
  <si>
    <t>INV-12</t>
  </si>
  <si>
    <t>MALE TO HDMI FEMALE CONVERTER</t>
  </si>
  <si>
    <t>INV-13</t>
  </si>
  <si>
    <t>USB C-MULTI FUNCTION ADAPTER</t>
  </si>
  <si>
    <t>INV-14</t>
  </si>
  <si>
    <t>HDMI CABLES</t>
  </si>
  <si>
    <t>INV-15</t>
  </si>
  <si>
    <t>DUAL DISPLAY ADAPTER</t>
  </si>
  <si>
    <t>INV-16</t>
  </si>
  <si>
    <t>4K DP TO HDMI ADAPTER</t>
  </si>
  <si>
    <t>INV-17</t>
  </si>
  <si>
    <t>MINI DP TO DP ADAPTER</t>
  </si>
  <si>
    <t>INV-18</t>
  </si>
  <si>
    <t>POWER CABLES</t>
  </si>
  <si>
    <t>No.</t>
  </si>
  <si>
    <t>Name</t>
  </si>
  <si>
    <t>Role</t>
  </si>
  <si>
    <t>Laptop Number</t>
  </si>
  <si>
    <t>Department/Client</t>
  </si>
  <si>
    <t>Location</t>
  </si>
  <si>
    <t>PC Model</t>
  </si>
  <si>
    <t>Laptop S/N</t>
  </si>
  <si>
    <t>Monitor Brand/Model</t>
  </si>
  <si>
    <t>No. Of Monitor</t>
  </si>
  <si>
    <t>Monitor S/N</t>
  </si>
  <si>
    <t>Headset Brand/Model</t>
  </si>
  <si>
    <t xml:space="preserve"> Headset: S/N</t>
  </si>
  <si>
    <t xml:space="preserve">Mouse Brand/Model </t>
  </si>
  <si>
    <t>Mouse S/N, CN</t>
  </si>
  <si>
    <t>Keyboard Brand/Model</t>
  </si>
  <si>
    <t>Keyboard S/N, CN</t>
  </si>
  <si>
    <t>Webcam Brand/Model</t>
  </si>
  <si>
    <t>Mouse/Keyboard Combination?</t>
  </si>
  <si>
    <t>Ria Agabin</t>
  </si>
  <si>
    <t>RSS-LAPTOP-001B</t>
  </si>
  <si>
    <t>Eastman</t>
  </si>
  <si>
    <t>Work-From-Home</t>
  </si>
  <si>
    <t>Acer</t>
  </si>
  <si>
    <t>NXWRSP004250083B47600</t>
  </si>
  <si>
    <t>AOC</t>
  </si>
  <si>
    <t>Poly Blackwire</t>
  </si>
  <si>
    <t xml:space="preserve">Wireless Mouse </t>
  </si>
  <si>
    <t>N/A</t>
  </si>
  <si>
    <t>Ria Santiago</t>
  </si>
  <si>
    <t>RSS-LAPTOP-002B</t>
  </si>
  <si>
    <t>Fairview Electricl &amp; Plumbing</t>
  </si>
  <si>
    <t>Dell</t>
  </si>
  <si>
    <t>Dell 15DC15250</t>
  </si>
  <si>
    <t>Abigail Basilio</t>
  </si>
  <si>
    <t>Entry Education</t>
  </si>
  <si>
    <t>NXB17SP0033510DE7F7600</t>
  </si>
  <si>
    <t>Trishia Elias</t>
  </si>
  <si>
    <t>Hybrid</t>
  </si>
  <si>
    <t>Lenovo</t>
  </si>
  <si>
    <t>PF46WZ5P</t>
  </si>
  <si>
    <t>PC Number</t>
  </si>
  <si>
    <t>PC S/N</t>
  </si>
  <si>
    <t>Webcam S/N:</t>
  </si>
  <si>
    <t>Cherry Gonzales</t>
  </si>
  <si>
    <t>Admin Assistant</t>
  </si>
  <si>
    <t>RSS-PC-0103</t>
  </si>
  <si>
    <t>Millers Roofing</t>
  </si>
  <si>
    <t>Onsite</t>
  </si>
  <si>
    <t>Clone PC</t>
  </si>
  <si>
    <t>Samsung</t>
  </si>
  <si>
    <t>0WS2HNAY200020W 
OWS2HNAY20045B</t>
  </si>
  <si>
    <t>POLY BLACKWIRED</t>
  </si>
  <si>
    <t>J0XKCA</t>
  </si>
  <si>
    <t>DELL</t>
  </si>
  <si>
    <t>065K5F-L0300-35K-040E </t>
  </si>
  <si>
    <t>A4TECH</t>
  </si>
  <si>
    <t>25XS100 </t>
  </si>
  <si>
    <t>Jerome Espinosa</t>
  </si>
  <si>
    <t>RSS-PC-0104</t>
  </si>
  <si>
    <t>Ford and Doona</t>
  </si>
  <si>
    <t>OWS2HNAY200923V    
OWS2HNAY200332L </t>
  </si>
  <si>
    <t>J0XKPW </t>
  </si>
  <si>
    <t>25XSI01 </t>
  </si>
  <si>
    <t>SKU</t>
  </si>
  <si>
    <t>Model</t>
  </si>
  <si>
    <t>CPU</t>
  </si>
  <si>
    <t>Intel i5-12400 2.5GHz 6-core 12 thread LGA 1700</t>
  </si>
  <si>
    <t>MOBO</t>
  </si>
  <si>
    <t>Gigabyte GA-H610M-H-V3 DDR4 LGA1700 M-ATX</t>
  </si>
  <si>
    <t>RAM</t>
  </si>
  <si>
    <t>16GB RAM</t>
  </si>
  <si>
    <t>SSD</t>
  </si>
  <si>
    <t>4.0 500GB SSD M.2</t>
  </si>
  <si>
    <t>GPU</t>
  </si>
  <si>
    <t xml:space="preserve">Gigabyte Rtx 3050 8gb gddr6 </t>
  </si>
  <si>
    <t>OS</t>
  </si>
  <si>
    <t>WinPro 11</t>
  </si>
  <si>
    <t>CASING</t>
  </si>
  <si>
    <t>basic - with 4 fans</t>
  </si>
  <si>
    <t>TP LINK AC600 - WIFI ADAPTER</t>
  </si>
  <si>
    <t>INV-19</t>
  </si>
  <si>
    <t>Sofia Maniti</t>
  </si>
  <si>
    <t>RSS-LAPTOP-005B</t>
  </si>
  <si>
    <t>Hammerhire</t>
  </si>
  <si>
    <t>BKLJZC4</t>
  </si>
  <si>
    <t xml:space="preserve">RSS-LAPTOP-003B </t>
  </si>
  <si>
    <t>Charisma Platero</t>
  </si>
  <si>
    <t>Estimator</t>
  </si>
  <si>
    <t>RSS-PCC-004B</t>
  </si>
  <si>
    <t>Unity Roofing</t>
  </si>
  <si>
    <t>Justine Jabat</t>
  </si>
  <si>
    <t>TRSWA-JUSTINE</t>
  </si>
  <si>
    <t>TRSWA</t>
  </si>
  <si>
    <t>Jessica Uncad</t>
  </si>
  <si>
    <t>RSS-LAPTOP-004B</t>
  </si>
  <si>
    <t>9QXKZC4</t>
  </si>
  <si>
    <t>VIEWSONIC</t>
  </si>
  <si>
    <t>Kenneth Dacanay</t>
  </si>
  <si>
    <t>Accounts Payable</t>
  </si>
  <si>
    <t>RSS-PC-005B</t>
  </si>
  <si>
    <t>FINMEC</t>
  </si>
  <si>
    <t>J3FY58</t>
  </si>
  <si>
    <t>25SAN01</t>
  </si>
  <si>
    <t>25SAN00</t>
  </si>
  <si>
    <t>Status</t>
  </si>
  <si>
    <t>Out of Stock</t>
  </si>
  <si>
    <t>Low Stock</t>
  </si>
  <si>
    <t>In Stock</t>
  </si>
  <si>
    <t>Bryan Colis</t>
  </si>
  <si>
    <t>RSS-LAPTOP-006B</t>
  </si>
  <si>
    <t>PF62FV02</t>
  </si>
  <si>
    <t>INV-20</t>
  </si>
  <si>
    <t>LAPTOP MAC</t>
  </si>
  <si>
    <t>RSS-PC-006B</t>
  </si>
  <si>
    <t>Gener Rosario</t>
  </si>
  <si>
    <t>Structural Engineer</t>
  </si>
  <si>
    <t>Leading Cranes</t>
  </si>
  <si>
    <t>WFH</t>
  </si>
  <si>
    <t>DELL PRECISION</t>
  </si>
  <si>
    <t>Raymund Santos</t>
  </si>
  <si>
    <t>Customer Service</t>
  </si>
  <si>
    <t>RSS-PC-008B</t>
  </si>
  <si>
    <t>ABA TRADES</t>
  </si>
  <si>
    <t>Dan Lawrence Damilig</t>
  </si>
  <si>
    <t xml:space="preserve">Electrical Engineer </t>
  </si>
  <si>
    <t>RSS-PC-007B</t>
  </si>
  <si>
    <t>Irish Palisoc</t>
  </si>
  <si>
    <t>RSS-LAPTOP-007B</t>
  </si>
  <si>
    <t>Gabriel Laredo</t>
  </si>
  <si>
    <t>PF5RAA6S</t>
  </si>
  <si>
    <t>J3FVYU</t>
  </si>
  <si>
    <t>AVAR69A001294
AVAR69A000923</t>
  </si>
  <si>
    <t>CQQVCH4 27738641128</t>
  </si>
  <si>
    <t>J3FWCK</t>
  </si>
  <si>
    <t>CN-0DMV3P-CH400-5C4-1MCZ-A01</t>
  </si>
  <si>
    <t>CN-003VWH-M6D00-5C9-0GMI-A00</t>
  </si>
  <si>
    <t>25SYI00</t>
  </si>
  <si>
    <t>RSS-LAPTOP-34</t>
  </si>
  <si>
    <t>Eunille Jan Apo</t>
  </si>
  <si>
    <t>RSS-LAPTOP-008B</t>
  </si>
  <si>
    <t>FQCF0528</t>
  </si>
  <si>
    <t>Marylo Lintag</t>
  </si>
  <si>
    <t>DESKTOP-401BJIP</t>
  </si>
  <si>
    <t>Creative Structures</t>
  </si>
  <si>
    <t>FQC-10529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</si>
</sst>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b/>
      <sz val="11"/>
      <color rgb="FFFFFFFF"/>
      <name val="Aptos Narrow"/>
      <family val="2"/>
      <scheme val="minor"/>
    </font>
    <font>
      <sz val="10"/>
      <name val="Candara"/>
      <family val="2"/>
    </font>
    <font>
      <sz val="10"/>
      <color rgb="FF000000"/>
      <name val="Candara"/>
      <family val="2"/>
    </font>
    <font>
      <sz val="14"/>
      <color theme="1"/>
      <name val="Aptos Narrow"/>
      <family val="2"/>
      <scheme val="minor"/>
    </font>
    <font>
      <sz val="10"/>
      <color theme="1"/>
      <name val="Candar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DEAC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2" borderId="1" xfId="0" applyFill="1" applyBorder="1"/>
    <xf numFmtId="0" fontId="7" fillId="6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10" fillId="4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vertical="center"/>
    </xf>
    <xf numFmtId="0" fontId="5" fillId="4" borderId="1" xfId="0" applyFont="1" applyFill="1" applyBorder="1"/>
    <xf numFmtId="0" fontId="11" fillId="4" borderId="1" xfId="0" applyFont="1" applyFill="1" applyBorder="1"/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vertical="center"/>
    </xf>
    <xf numFmtId="0" fontId="5" fillId="2" borderId="1" xfId="0" applyFont="1" applyFill="1" applyBorder="1"/>
    <xf numFmtId="0" fontId="0" fillId="2" borderId="0" xfId="0" applyFill="1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14" fontId="10" fillId="4" borderId="4" xfId="0" applyNumberFormat="1" applyFont="1" applyFill="1" applyBorder="1" applyAlignment="1">
      <alignment horizontal="center" vertical="center"/>
    </xf>
    <xf numFmtId="14" fontId="10" fillId="4" borderId="5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DEA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5C2A-5EF6-4CF6-8DDB-A4980CF869CA}">
  <dimension ref="A1:P30"/>
  <sheetViews>
    <sheetView tabSelected="1" zoomScaleNormal="100" workbookViewId="0">
      <selection activeCell="D22" sqref="D22"/>
    </sheetView>
  </sheetViews>
  <sheetFormatPr defaultColWidth="9" defaultRowHeight="14.4" x14ac:dyDescent="0.3"/>
  <cols>
    <col min="1" max="1" width="7" style="2" customWidth="1"/>
    <col min="2" max="2" width="29.88671875" style="2" customWidth="1"/>
    <col min="3" max="3" width="13" style="2" customWidth="1"/>
    <col min="4" max="4" width="17.5546875" style="2" customWidth="1"/>
    <col min="5" max="5" width="10.44140625" style="2" customWidth="1"/>
    <col min="6" max="6" width="10" style="2" bestFit="1" customWidth="1"/>
    <col min="7" max="7" width="9.88671875" style="2" customWidth="1"/>
    <col min="8" max="8" width="1.21875" style="2" customWidth="1"/>
    <col min="9" max="9" width="9" style="2" hidden="1" customWidth="1"/>
    <col min="10" max="10" width="31.109375" style="2" customWidth="1"/>
    <col min="11" max="11" width="14.5546875" style="2" customWidth="1"/>
    <col min="12" max="12" width="20.88671875" style="2" customWidth="1"/>
    <col min="13" max="13" width="0.88671875" style="2" customWidth="1"/>
    <col min="14" max="14" width="21.21875" style="2" customWidth="1"/>
    <col min="15" max="15" width="29.109375" style="2" customWidth="1"/>
    <col min="16" max="16" width="30.77734375" style="2" customWidth="1"/>
    <col min="17" max="16384" width="9" style="2"/>
  </cols>
  <sheetData>
    <row r="1" spans="1:16" ht="24" customHeight="1" x14ac:dyDescent="0.3">
      <c r="A1" s="52" t="s">
        <v>0</v>
      </c>
      <c r="B1" s="52"/>
      <c r="C1" s="52"/>
      <c r="D1" s="52"/>
      <c r="E1" s="52"/>
      <c r="F1" s="52"/>
      <c r="G1" s="52"/>
      <c r="J1" s="49" t="s">
        <v>1</v>
      </c>
      <c r="K1" s="49"/>
      <c r="L1" s="49"/>
      <c r="N1" s="53" t="s">
        <v>2</v>
      </c>
      <c r="O1" s="53"/>
      <c r="P1" s="53"/>
    </row>
    <row r="2" spans="1:16" ht="14.25" customHeight="1" x14ac:dyDescent="0.3">
      <c r="A2" s="6" t="s">
        <v>3</v>
      </c>
      <c r="B2" s="7" t="s">
        <v>4</v>
      </c>
      <c r="C2" s="29" t="s">
        <v>169</v>
      </c>
      <c r="D2" s="7" t="s">
        <v>5</v>
      </c>
      <c r="E2" s="7" t="s">
        <v>6</v>
      </c>
      <c r="F2" s="6" t="s">
        <v>7</v>
      </c>
      <c r="G2" s="7" t="s">
        <v>8</v>
      </c>
      <c r="J2" s="1" t="s">
        <v>9</v>
      </c>
      <c r="K2" s="1" t="s">
        <v>10</v>
      </c>
      <c r="L2" s="1" t="s">
        <v>11</v>
      </c>
      <c r="N2" s="54" t="s">
        <v>12</v>
      </c>
      <c r="O2" s="55" t="s">
        <v>13</v>
      </c>
      <c r="P2" s="56" t="s">
        <v>14</v>
      </c>
    </row>
    <row r="3" spans="1:16" x14ac:dyDescent="0.3">
      <c r="A3" s="16" t="s">
        <v>15</v>
      </c>
      <c r="B3" s="3" t="s">
        <v>16</v>
      </c>
      <c r="C3" s="30" t="str">
        <f>IF(D3=0,"Out of Stock",IF(D3&lt;2,"Low Stock","In Stock"))</f>
        <v>Out of Stock</v>
      </c>
      <c r="D3" s="10">
        <f>(K5+K6)-F3</f>
        <v>0</v>
      </c>
      <c r="E3" s="4">
        <v>1</v>
      </c>
      <c r="F3" s="4">
        <v>6</v>
      </c>
      <c r="G3" s="5">
        <f ca="1">TODAY()</f>
        <v>46175</v>
      </c>
      <c r="J3" s="3" t="s">
        <v>17</v>
      </c>
      <c r="K3" s="3">
        <v>19</v>
      </c>
      <c r="L3" s="8"/>
      <c r="N3" s="54"/>
      <c r="O3" s="55"/>
      <c r="P3" s="56"/>
    </row>
    <row r="4" spans="1:16" x14ac:dyDescent="0.3">
      <c r="A4" s="16" t="s">
        <v>18</v>
      </c>
      <c r="B4" s="3" t="s">
        <v>19</v>
      </c>
      <c r="C4" s="30" t="str">
        <f>IF(D4=0,"Out of Stock",IF(D4&lt;3,"Low Stock","In Stock"))</f>
        <v>In Stock</v>
      </c>
      <c r="D4" s="10">
        <f>SUM(K8:K9)-F4</f>
        <v>5</v>
      </c>
      <c r="E4" s="4">
        <v>9</v>
      </c>
      <c r="F4" s="4">
        <v>10</v>
      </c>
      <c r="G4" s="5">
        <f t="shared" ref="G4:G20" ca="1" si="0">TODAY()</f>
        <v>46175</v>
      </c>
      <c r="J4" s="3" t="s">
        <v>20</v>
      </c>
      <c r="K4" s="3">
        <v>1</v>
      </c>
      <c r="L4" s="8"/>
      <c r="N4" s="47">
        <v>121</v>
      </c>
      <c r="O4" s="48">
        <v>6</v>
      </c>
      <c r="P4" s="47">
        <v>127</v>
      </c>
    </row>
    <row r="5" spans="1:16" x14ac:dyDescent="0.3">
      <c r="A5" s="16" t="s">
        <v>21</v>
      </c>
      <c r="B5" s="3" t="s">
        <v>22</v>
      </c>
      <c r="C5" s="30" t="str">
        <f t="shared" ref="C5:C21" si="1">IF(D5=0,"Out of Stock",IF(D5&lt;2,"Low Stock","In Stock"))</f>
        <v>In Stock</v>
      </c>
      <c r="D5" s="10">
        <f>K10+E5-F5</f>
        <v>2</v>
      </c>
      <c r="E5" s="4">
        <v>0</v>
      </c>
      <c r="F5" s="4">
        <v>4</v>
      </c>
      <c r="G5" s="5">
        <f t="shared" ca="1" si="0"/>
        <v>46175</v>
      </c>
      <c r="J5" s="3" t="s">
        <v>23</v>
      </c>
      <c r="K5" s="3">
        <f>3+E3</f>
        <v>4</v>
      </c>
      <c r="L5" s="8" t="s">
        <v>24</v>
      </c>
      <c r="N5" s="47"/>
      <c r="O5" s="48"/>
      <c r="P5" s="47"/>
    </row>
    <row r="6" spans="1:16" ht="18" x14ac:dyDescent="0.3">
      <c r="A6" s="16" t="s">
        <v>25</v>
      </c>
      <c r="B6" s="3" t="s">
        <v>26</v>
      </c>
      <c r="C6" s="30" t="str">
        <f>IF(D6=0,"Out of Stock",IF(D6&lt;8,"Low Stock","In Stock"))</f>
        <v>In Stock</v>
      </c>
      <c r="D6" s="10">
        <f>K3+E6+K4-F6</f>
        <v>13</v>
      </c>
      <c r="E6" s="4">
        <v>13</v>
      </c>
      <c r="F6" s="4">
        <v>20</v>
      </c>
      <c r="G6" s="5">
        <f t="shared" ca="1" si="0"/>
        <v>46175</v>
      </c>
      <c r="J6" s="3" t="s">
        <v>27</v>
      </c>
      <c r="K6" s="3">
        <v>2</v>
      </c>
      <c r="L6" s="8" t="s">
        <v>28</v>
      </c>
      <c r="M6" s="2" t="s">
        <v>24</v>
      </c>
      <c r="N6" s="19" t="s">
        <v>29</v>
      </c>
      <c r="O6" s="50">
        <f ca="1">TODAY()</f>
        <v>46175</v>
      </c>
      <c r="P6" s="51"/>
    </row>
    <row r="7" spans="1:16" x14ac:dyDescent="0.3">
      <c r="A7" s="16" t="s">
        <v>30</v>
      </c>
      <c r="B7" s="3" t="s">
        <v>31</v>
      </c>
      <c r="C7" s="30" t="str">
        <f>IF(D7=0,"Out of Stock",IF(D7&lt;4,"Low Stock","In Stock"))</f>
        <v>In Stock</v>
      </c>
      <c r="D7" s="10">
        <f t="shared" ref="D7:D20" si="2">K11-F7</f>
        <v>6</v>
      </c>
      <c r="E7" s="4">
        <v>7</v>
      </c>
      <c r="F7" s="4">
        <v>7</v>
      </c>
      <c r="G7" s="5">
        <f t="shared" ca="1" si="0"/>
        <v>46175</v>
      </c>
      <c r="J7" s="3" t="s">
        <v>32</v>
      </c>
      <c r="K7" s="3">
        <f>1</f>
        <v>1</v>
      </c>
      <c r="L7" s="8" t="s">
        <v>33</v>
      </c>
      <c r="M7" s="2" t="s">
        <v>24</v>
      </c>
      <c r="N7" s="2" t="s">
        <v>24</v>
      </c>
    </row>
    <row r="8" spans="1:16" ht="31.2" customHeight="1" x14ac:dyDescent="0.3">
      <c r="A8" s="16" t="s">
        <v>34</v>
      </c>
      <c r="B8" s="3" t="s">
        <v>35</v>
      </c>
      <c r="C8" s="30" t="str">
        <f>IF(D8=0,"Out of Stock",IF(D8&lt;3,"Low Stock","In Stock"))</f>
        <v>Low Stock</v>
      </c>
      <c r="D8" s="10">
        <f t="shared" si="2"/>
        <v>1</v>
      </c>
      <c r="E8" s="4">
        <v>0</v>
      </c>
      <c r="F8" s="4">
        <v>1</v>
      </c>
      <c r="G8" s="5">
        <f t="shared" ca="1" si="0"/>
        <v>46175</v>
      </c>
      <c r="J8" s="11" t="s">
        <v>36</v>
      </c>
      <c r="K8" s="3">
        <f>3+E4</f>
        <v>12</v>
      </c>
      <c r="L8" s="18" t="s">
        <v>37</v>
      </c>
      <c r="M8" s="2" t="s">
        <v>24</v>
      </c>
      <c r="N8" s="31" t="s">
        <v>170</v>
      </c>
      <c r="O8" s="33" t="s">
        <v>171</v>
      </c>
      <c r="P8" s="32" t="s">
        <v>172</v>
      </c>
    </row>
    <row r="9" spans="1:16" ht="48" x14ac:dyDescent="0.3">
      <c r="A9" s="16" t="s">
        <v>38</v>
      </c>
      <c r="B9" s="3" t="s">
        <v>39</v>
      </c>
      <c r="C9" s="30" t="str">
        <f>IF(D9=0,"Out of Stock",IF(D9&lt;3,"Low Stock","In Stock"))</f>
        <v>In Stock</v>
      </c>
      <c r="D9" s="10">
        <v>4</v>
      </c>
      <c r="E9" s="4">
        <v>2</v>
      </c>
      <c r="F9" s="4">
        <v>5</v>
      </c>
      <c r="G9" s="5">
        <f t="shared" ca="1" si="0"/>
        <v>46175</v>
      </c>
      <c r="J9" s="3" t="s">
        <v>40</v>
      </c>
      <c r="K9" s="3">
        <v>3</v>
      </c>
      <c r="L9" s="9" t="s">
        <v>41</v>
      </c>
      <c r="N9" s="20" t="str" cm="1">
        <f t="array" ref="N9:N10">_xlfn._xlws.FILTER(B3:B21,C3:C21=N8)</f>
        <v>LAPTOP</v>
      </c>
      <c r="O9" s="20" t="str" cm="1">
        <f t="array" ref="O9:O12">_xlfn._xlws.FILTER(B3:B21,C3:C21=O8)</f>
        <v>WIRED KEYBOARD</v>
      </c>
      <c r="P9" s="20" t="str" cm="1">
        <f t="array" ref="P9:P22">_xlfn._xlws.FILTER(B3:B22,C3:C22=P8)</f>
        <v>PC</v>
      </c>
    </row>
    <row r="10" spans="1:16" x14ac:dyDescent="0.3">
      <c r="A10" s="16" t="s">
        <v>42</v>
      </c>
      <c r="B10" s="3" t="s">
        <v>43</v>
      </c>
      <c r="C10" s="30" t="str">
        <f>IF(D10=0,"Out of Stock",IF(D10&lt;4,"Low Stock","In Stock"))</f>
        <v>In Stock</v>
      </c>
      <c r="D10" s="10">
        <f t="shared" si="2"/>
        <v>5</v>
      </c>
      <c r="E10" s="4">
        <v>7</v>
      </c>
      <c r="F10" s="4">
        <v>10</v>
      </c>
      <c r="G10" s="5">
        <f t="shared" ca="1" si="0"/>
        <v>46175</v>
      </c>
      <c r="J10" s="3" t="s">
        <v>22</v>
      </c>
      <c r="K10" s="3">
        <v>6</v>
      </c>
      <c r="L10" s="8" t="s">
        <v>24</v>
      </c>
      <c r="N10" s="20" t="str">
        <v>MALE TO HDMI FEMALE CONVERTER</v>
      </c>
      <c r="O10" s="20" t="str">
        <v>UPS</v>
      </c>
      <c r="P10" s="20" t="str">
        <v>LAPTOP BAGS</v>
      </c>
    </row>
    <row r="11" spans="1:16" x14ac:dyDescent="0.3">
      <c r="A11" s="16" t="s">
        <v>44</v>
      </c>
      <c r="B11" s="3" t="s">
        <v>45</v>
      </c>
      <c r="C11" s="30" t="str">
        <f>IF(D11=0,"Out of Stock",IF(D11&lt;4,"Low Stock","In Stock"))</f>
        <v>In Stock</v>
      </c>
      <c r="D11" s="10">
        <f t="shared" si="2"/>
        <v>6</v>
      </c>
      <c r="E11" s="4">
        <v>10</v>
      </c>
      <c r="F11" s="4">
        <v>9</v>
      </c>
      <c r="G11" s="5">
        <f t="shared" ca="1" si="0"/>
        <v>46175</v>
      </c>
      <c r="J11" s="3" t="s">
        <v>31</v>
      </c>
      <c r="K11" s="3">
        <f>6+E7</f>
        <v>13</v>
      </c>
      <c r="L11" s="4"/>
      <c r="N11" s="20"/>
      <c r="O11" s="20" t="str">
        <v>DUAL DISPLAY ADAPTER</v>
      </c>
      <c r="P11" s="20" t="str">
        <v>MONITORS</v>
      </c>
    </row>
    <row r="12" spans="1:16" x14ac:dyDescent="0.3">
      <c r="A12" s="16" t="s">
        <v>46</v>
      </c>
      <c r="B12" s="39" t="s">
        <v>47</v>
      </c>
      <c r="C12" s="30" t="str">
        <f>IF(D12=0,"Out of Stock",IF(D12&lt;4,"Low Stock","In Stock"))</f>
        <v>In Stock</v>
      </c>
      <c r="D12" s="10">
        <f t="shared" si="2"/>
        <v>7</v>
      </c>
      <c r="E12" s="4">
        <v>18</v>
      </c>
      <c r="F12" s="4">
        <v>18</v>
      </c>
      <c r="G12" s="5">
        <f t="shared" ca="1" si="0"/>
        <v>46175</v>
      </c>
      <c r="J12" s="3" t="s">
        <v>35</v>
      </c>
      <c r="K12" s="3">
        <f>2+E8</f>
        <v>2</v>
      </c>
      <c r="L12" s="4"/>
      <c r="N12" s="20"/>
      <c r="O12" s="20" t="str">
        <v>TP LINK AC600 - WIFI ADAPTER</v>
      </c>
      <c r="P12" s="20" t="str">
        <v>MOUSE + KEYBOARD WIRED</v>
      </c>
    </row>
    <row r="13" spans="1:16" x14ac:dyDescent="0.3">
      <c r="A13" s="16" t="s">
        <v>48</v>
      </c>
      <c r="B13" s="3" t="s">
        <v>49</v>
      </c>
      <c r="C13" s="30" t="str">
        <f>IF(D13=0,"Out of Stock",IF(D13&lt;3,"Low Stock","In Stock"))</f>
        <v>Low Stock</v>
      </c>
      <c r="D13" s="10">
        <f t="shared" si="2"/>
        <v>1</v>
      </c>
      <c r="E13" s="4">
        <v>7</v>
      </c>
      <c r="F13" s="4">
        <v>9</v>
      </c>
      <c r="G13" s="5">
        <f t="shared" ca="1" si="0"/>
        <v>46175</v>
      </c>
      <c r="J13" s="3" t="s">
        <v>39</v>
      </c>
      <c r="K13" s="3">
        <f>5+E9</f>
        <v>7</v>
      </c>
      <c r="L13" s="4"/>
      <c r="N13" s="20"/>
      <c r="O13" s="20"/>
      <c r="P13" s="20" t="str">
        <v>WIRED MOUSE</v>
      </c>
    </row>
    <row r="14" spans="1:16" x14ac:dyDescent="0.3">
      <c r="A14" s="16" t="s">
        <v>50</v>
      </c>
      <c r="B14" s="3" t="s">
        <v>51</v>
      </c>
      <c r="C14" s="30" t="str">
        <f t="shared" si="1"/>
        <v>Out of Stock</v>
      </c>
      <c r="D14" s="10">
        <f t="shared" si="2"/>
        <v>0</v>
      </c>
      <c r="E14" s="4">
        <v>0</v>
      </c>
      <c r="F14" s="4">
        <v>2</v>
      </c>
      <c r="G14" s="5">
        <f t="shared" ca="1" si="0"/>
        <v>46175</v>
      </c>
      <c r="J14" s="3" t="s">
        <v>43</v>
      </c>
      <c r="K14" s="3">
        <f>8+E10</f>
        <v>15</v>
      </c>
      <c r="L14" s="4"/>
      <c r="N14" s="20"/>
      <c r="O14" s="20"/>
      <c r="P14" s="20" t="str">
        <v>WIRELESS MOUSE</v>
      </c>
    </row>
    <row r="15" spans="1:16" x14ac:dyDescent="0.3">
      <c r="A15" s="16" t="s">
        <v>52</v>
      </c>
      <c r="B15" s="39" t="s">
        <v>53</v>
      </c>
      <c r="C15" s="30" t="str">
        <f t="shared" si="1"/>
        <v>In Stock</v>
      </c>
      <c r="D15" s="10">
        <f t="shared" si="2"/>
        <v>4</v>
      </c>
      <c r="E15" s="4">
        <v>7</v>
      </c>
      <c r="F15" s="4">
        <v>4</v>
      </c>
      <c r="G15" s="5">
        <f t="shared" ca="1" si="0"/>
        <v>46175</v>
      </c>
      <c r="J15" s="3" t="s">
        <v>45</v>
      </c>
      <c r="K15" s="3">
        <f>5+E11</f>
        <v>15</v>
      </c>
      <c r="L15" s="4"/>
      <c r="N15" s="20"/>
      <c r="O15" s="20"/>
      <c r="P15" s="20" t="str">
        <v>WEBCAM</v>
      </c>
    </row>
    <row r="16" spans="1:16" x14ac:dyDescent="0.3">
      <c r="A16" s="16" t="s">
        <v>54</v>
      </c>
      <c r="B16" s="3" t="s">
        <v>55</v>
      </c>
      <c r="C16" s="30" t="str">
        <f>IF(D16=0,"Out of Stock",IF(D16&lt;5,"Low Stock","In Stock"))</f>
        <v>In Stock</v>
      </c>
      <c r="D16" s="10">
        <f t="shared" si="2"/>
        <v>13</v>
      </c>
      <c r="E16" s="4">
        <v>3</v>
      </c>
      <c r="F16" s="4">
        <v>6</v>
      </c>
      <c r="G16" s="5">
        <f t="shared" ca="1" si="0"/>
        <v>46175</v>
      </c>
      <c r="J16" s="3" t="s">
        <v>47</v>
      </c>
      <c r="K16" s="3">
        <f>7+E12</f>
        <v>25</v>
      </c>
      <c r="L16" s="4"/>
      <c r="N16" s="20"/>
      <c r="O16" s="20"/>
      <c r="P16" s="20" t="str">
        <v>HEADSET</v>
      </c>
    </row>
    <row r="17" spans="1:16" x14ac:dyDescent="0.3">
      <c r="A17" s="16" t="s">
        <v>56</v>
      </c>
      <c r="B17" s="3" t="s">
        <v>57</v>
      </c>
      <c r="C17" s="30" t="str">
        <f t="shared" si="1"/>
        <v>Low Stock</v>
      </c>
      <c r="D17" s="10">
        <f t="shared" si="2"/>
        <v>1</v>
      </c>
      <c r="E17" s="4">
        <v>0</v>
      </c>
      <c r="F17" s="4">
        <v>0</v>
      </c>
      <c r="G17" s="5">
        <f t="shared" ca="1" si="0"/>
        <v>46175</v>
      </c>
      <c r="J17" s="3" t="s">
        <v>49</v>
      </c>
      <c r="K17" s="3">
        <f>3+E13</f>
        <v>10</v>
      </c>
      <c r="L17" s="4"/>
      <c r="N17" s="20"/>
      <c r="O17" s="20"/>
      <c r="P17" s="20" t="str">
        <v>USB C-MULTI FUNCTION ADAPTER</v>
      </c>
    </row>
    <row r="18" spans="1:16" x14ac:dyDescent="0.3">
      <c r="A18" s="16" t="s">
        <v>58</v>
      </c>
      <c r="B18" s="3" t="s">
        <v>59</v>
      </c>
      <c r="C18" s="30" t="str">
        <f>IF(D18=0,"Out of Stock",IF(D18&lt;5,"Low Stock","In Stock"))</f>
        <v>In Stock</v>
      </c>
      <c r="D18" s="10">
        <f t="shared" si="2"/>
        <v>15</v>
      </c>
      <c r="E18" s="4">
        <v>3</v>
      </c>
      <c r="F18" s="4">
        <v>5</v>
      </c>
      <c r="G18" s="5">
        <f t="shared" ca="1" si="0"/>
        <v>46175</v>
      </c>
      <c r="J18" s="3" t="s">
        <v>51</v>
      </c>
      <c r="K18" s="3">
        <f>2+E14</f>
        <v>2</v>
      </c>
      <c r="L18" s="4"/>
      <c r="N18" s="20"/>
      <c r="O18" s="20"/>
      <c r="P18" s="20" t="str">
        <v>HDMI CABLES</v>
      </c>
    </row>
    <row r="19" spans="1:16" x14ac:dyDescent="0.3">
      <c r="A19" s="16" t="s">
        <v>60</v>
      </c>
      <c r="B19" s="3" t="s">
        <v>61</v>
      </c>
      <c r="C19" s="30" t="str">
        <f t="shared" si="1"/>
        <v>In Stock</v>
      </c>
      <c r="D19" s="10">
        <f t="shared" si="2"/>
        <v>6</v>
      </c>
      <c r="E19" s="4">
        <v>3</v>
      </c>
      <c r="F19" s="4">
        <v>0</v>
      </c>
      <c r="G19" s="5">
        <f t="shared" ca="1" si="0"/>
        <v>46175</v>
      </c>
      <c r="J19" s="3" t="s">
        <v>53</v>
      </c>
      <c r="K19" s="3">
        <f>1+E15</f>
        <v>8</v>
      </c>
      <c r="L19" s="4"/>
      <c r="N19" s="20"/>
      <c r="O19" s="20"/>
      <c r="P19" s="20" t="str">
        <v>4K DP TO HDMI ADAPTER</v>
      </c>
    </row>
    <row r="20" spans="1:16" x14ac:dyDescent="0.3">
      <c r="A20" s="16" t="s">
        <v>62</v>
      </c>
      <c r="B20" s="3" t="s">
        <v>63</v>
      </c>
      <c r="C20" s="30" t="str">
        <f>IF(D20=0,"Out of Stock",IF(D20&lt;4,"Low Stock","In Stock"))</f>
        <v>In Stock</v>
      </c>
      <c r="D20" s="10">
        <f t="shared" si="2"/>
        <v>7</v>
      </c>
      <c r="E20" s="4">
        <v>8</v>
      </c>
      <c r="F20" s="4">
        <v>4</v>
      </c>
      <c r="G20" s="5">
        <f t="shared" ca="1" si="0"/>
        <v>46175</v>
      </c>
      <c r="J20" s="3" t="s">
        <v>55</v>
      </c>
      <c r="K20" s="3">
        <f>16+E16</f>
        <v>19</v>
      </c>
      <c r="L20" s="4"/>
      <c r="N20" s="20"/>
      <c r="O20" s="20"/>
      <c r="P20" s="20" t="str">
        <v>MINI DP TO DP ADAPTER</v>
      </c>
    </row>
    <row r="21" spans="1:16" x14ac:dyDescent="0.3">
      <c r="A21" s="23" t="s">
        <v>145</v>
      </c>
      <c r="B21" s="15" t="s">
        <v>144</v>
      </c>
      <c r="C21" s="30" t="str">
        <f t="shared" si="1"/>
        <v>Low Stock</v>
      </c>
      <c r="D21" s="22">
        <f>K25+E21-F21</f>
        <v>1</v>
      </c>
      <c r="E21" s="21">
        <v>1</v>
      </c>
      <c r="F21" s="21">
        <v>1</v>
      </c>
      <c r="G21" s="24">
        <f ca="1">TODAY()</f>
        <v>46175</v>
      </c>
      <c r="J21" s="3" t="s">
        <v>57</v>
      </c>
      <c r="K21" s="3">
        <f>1+E17</f>
        <v>1</v>
      </c>
      <c r="L21" s="4"/>
      <c r="N21" s="20"/>
      <c r="O21" s="20"/>
      <c r="P21" s="20" t="str">
        <v>POWER CABLES</v>
      </c>
    </row>
    <row r="22" spans="1:16" x14ac:dyDescent="0.3">
      <c r="A22" s="23" t="s">
        <v>176</v>
      </c>
      <c r="B22" s="20" t="s">
        <v>177</v>
      </c>
      <c r="C22" s="30" t="str">
        <f t="shared" ref="C22" si="3">IF(D22=0,"Out of Stock",IF(D22&lt;2,"Low Stock","In Stock"))</f>
        <v>In Stock</v>
      </c>
      <c r="D22" s="22">
        <v>2</v>
      </c>
      <c r="E22" s="21">
        <v>0</v>
      </c>
      <c r="F22" s="21">
        <v>0</v>
      </c>
      <c r="G22" s="24">
        <f ca="1">TODAY()</f>
        <v>46175</v>
      </c>
      <c r="J22" s="3" t="s">
        <v>59</v>
      </c>
      <c r="K22" s="3">
        <f>17+E18</f>
        <v>20</v>
      </c>
      <c r="L22" s="4"/>
      <c r="N22" s="20"/>
      <c r="O22" s="20"/>
      <c r="P22" s="20" t="str">
        <v>LAPTOP MAC</v>
      </c>
    </row>
    <row r="23" spans="1:16" x14ac:dyDescent="0.3">
      <c r="J23" s="3" t="s">
        <v>61</v>
      </c>
      <c r="K23" s="3">
        <f>3+E19</f>
        <v>6</v>
      </c>
      <c r="L23" s="4"/>
      <c r="N23" s="20"/>
      <c r="O23" s="20"/>
      <c r="P23" s="20"/>
    </row>
    <row r="24" spans="1:16" x14ac:dyDescent="0.3">
      <c r="J24" s="3" t="s">
        <v>63</v>
      </c>
      <c r="K24" s="3">
        <f>3+E20</f>
        <v>11</v>
      </c>
      <c r="L24" s="4"/>
      <c r="N24" s="34"/>
      <c r="O24" s="34"/>
      <c r="P24" s="34"/>
    </row>
    <row r="25" spans="1:16" x14ac:dyDescent="0.3">
      <c r="J25" s="20" t="s">
        <v>144</v>
      </c>
      <c r="K25" s="20">
        <v>1</v>
      </c>
      <c r="L25" s="20"/>
      <c r="N25" s="34"/>
      <c r="O25" s="34"/>
      <c r="P25" s="34"/>
    </row>
    <row r="26" spans="1:16" x14ac:dyDescent="0.3">
      <c r="J26" s="20" t="s">
        <v>177</v>
      </c>
      <c r="K26" s="20">
        <v>2</v>
      </c>
      <c r="L26" s="20"/>
    </row>
    <row r="30" spans="1:16" x14ac:dyDescent="0.3">
      <c r="L30" s="2" t="s">
        <v>24</v>
      </c>
    </row>
  </sheetData>
  <mergeCells count="10">
    <mergeCell ref="A1:G1"/>
    <mergeCell ref="N1:P1"/>
    <mergeCell ref="N2:N3"/>
    <mergeCell ref="O2:O3"/>
    <mergeCell ref="P2:P3"/>
    <mergeCell ref="N4:N5"/>
    <mergeCell ref="O4:O5"/>
    <mergeCell ref="P4:P5"/>
    <mergeCell ref="J1:L1"/>
    <mergeCell ref="O6:P6"/>
  </mergeCells>
  <phoneticPr fontId="3" type="noConversion"/>
  <conditionalFormatting sqref="C3:C22">
    <cfRule type="cellIs" dxfId="5" priority="4" operator="equal">
      <formula>"Low Stock"</formula>
    </cfRule>
    <cfRule type="cellIs" dxfId="4" priority="5" operator="equal">
      <formula>"Out of Stock"</formula>
    </cfRule>
    <cfRule type="cellIs" dxfId="3" priority="6" operator="equal">
      <formula>"In Stock"</formula>
    </cfRule>
  </conditionalFormatting>
  <conditionalFormatting sqref="N8:P8">
    <cfRule type="cellIs" dxfId="2" priority="2" operator="equal">
      <formula>"Out of Stock"</formula>
    </cfRule>
  </conditionalFormatting>
  <conditionalFormatting sqref="O8">
    <cfRule type="cellIs" dxfId="1" priority="3" operator="equal">
      <formula>"Low Stock"</formula>
    </cfRule>
  </conditionalFormatting>
  <conditionalFormatting sqref="P8">
    <cfRule type="cellIs" dxfId="0" priority="1" operator="equal">
      <formula>"In Stock"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B6CB-5DCB-4D20-BE7E-31E1239D4DE3}">
  <dimension ref="A1:T11"/>
  <sheetViews>
    <sheetView topLeftCell="B1" zoomScale="130" zoomScaleNormal="130" workbookViewId="0">
      <selection activeCell="B8" sqref="A8:XFD8"/>
    </sheetView>
  </sheetViews>
  <sheetFormatPr defaultRowHeight="14.4" x14ac:dyDescent="0.3"/>
  <cols>
    <col min="2" max="2" width="13.88671875" customWidth="1"/>
    <col min="3" max="3" width="12.21875" customWidth="1"/>
    <col min="4" max="4" width="16.44140625" customWidth="1"/>
    <col min="5" max="5" width="17" customWidth="1"/>
    <col min="6" max="6" width="16.77734375" customWidth="1"/>
    <col min="8" max="8" width="22.5546875" customWidth="1"/>
    <col min="9" max="9" width="18.21875" customWidth="1"/>
    <col min="10" max="10" width="2.44140625" customWidth="1"/>
    <col min="11" max="11" width="19.77734375" customWidth="1"/>
    <col min="12" max="12" width="11.88671875" customWidth="1"/>
    <col min="13" max="13" width="12.5546875" customWidth="1"/>
    <col min="14" max="15" width="14.44140625" customWidth="1"/>
    <col min="16" max="16" width="4.44140625" customWidth="1"/>
    <col min="17" max="17" width="11.21875" customWidth="1"/>
    <col min="19" max="19" width="13.5546875" customWidth="1"/>
  </cols>
  <sheetData>
    <row r="1" spans="1:20" x14ac:dyDescent="0.3">
      <c r="A1" s="13" t="s">
        <v>64</v>
      </c>
      <c r="B1" s="13" t="s">
        <v>65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78</v>
      </c>
      <c r="P1" s="13" t="s">
        <v>79</v>
      </c>
      <c r="Q1" s="13" t="s">
        <v>80</v>
      </c>
      <c r="R1" s="13" t="s">
        <v>81</v>
      </c>
      <c r="S1" s="13" t="s">
        <v>80</v>
      </c>
      <c r="T1" s="13" t="s">
        <v>82</v>
      </c>
    </row>
    <row r="2" spans="1:20" x14ac:dyDescent="0.3">
      <c r="A2" s="35">
        <v>1</v>
      </c>
      <c r="B2" s="36" t="s">
        <v>83</v>
      </c>
      <c r="C2" s="37"/>
      <c r="D2" s="37" t="s">
        <v>84</v>
      </c>
      <c r="E2" s="37" t="s">
        <v>85</v>
      </c>
      <c r="F2" s="37" t="s">
        <v>86</v>
      </c>
      <c r="G2" s="37" t="s">
        <v>87</v>
      </c>
      <c r="H2" s="37" t="s">
        <v>88</v>
      </c>
      <c r="I2" s="37" t="s">
        <v>89</v>
      </c>
      <c r="J2" s="37">
        <v>1</v>
      </c>
      <c r="K2" s="37"/>
      <c r="L2" s="37" t="s">
        <v>90</v>
      </c>
      <c r="M2" s="14"/>
      <c r="N2" s="37" t="s">
        <v>91</v>
      </c>
      <c r="O2" s="37"/>
      <c r="P2" s="37" t="s">
        <v>92</v>
      </c>
      <c r="Q2" s="37"/>
      <c r="R2" s="37" t="s">
        <v>92</v>
      </c>
      <c r="S2" s="14"/>
      <c r="T2" s="37" t="s">
        <v>92</v>
      </c>
    </row>
    <row r="3" spans="1:20" x14ac:dyDescent="0.3">
      <c r="A3" s="35">
        <v>2</v>
      </c>
      <c r="B3" s="36" t="s">
        <v>93</v>
      </c>
      <c r="C3" s="37"/>
      <c r="D3" s="37" t="s">
        <v>94</v>
      </c>
      <c r="E3" s="37" t="s">
        <v>95</v>
      </c>
      <c r="F3" s="37" t="s">
        <v>86</v>
      </c>
      <c r="G3" s="37" t="s">
        <v>96</v>
      </c>
      <c r="H3" s="37" t="s">
        <v>97</v>
      </c>
      <c r="I3" s="37" t="s">
        <v>89</v>
      </c>
      <c r="J3" s="37">
        <v>1</v>
      </c>
      <c r="K3" s="37"/>
      <c r="L3" s="37" t="s">
        <v>90</v>
      </c>
      <c r="M3" s="14"/>
      <c r="N3" s="37" t="s">
        <v>91</v>
      </c>
      <c r="O3" s="37"/>
      <c r="P3" s="37" t="s">
        <v>92</v>
      </c>
      <c r="Q3" s="37"/>
      <c r="R3" s="37" t="s">
        <v>92</v>
      </c>
      <c r="S3" s="14"/>
      <c r="T3" s="37" t="s">
        <v>92</v>
      </c>
    </row>
    <row r="4" spans="1:20" x14ac:dyDescent="0.3">
      <c r="A4" s="35">
        <v>3</v>
      </c>
      <c r="B4" s="36" t="s">
        <v>98</v>
      </c>
      <c r="C4" s="37"/>
      <c r="D4" s="37" t="s">
        <v>150</v>
      </c>
      <c r="E4" s="37" t="s">
        <v>99</v>
      </c>
      <c r="F4" s="37" t="s">
        <v>86</v>
      </c>
      <c r="G4" s="37" t="s">
        <v>87</v>
      </c>
      <c r="H4" s="37" t="s">
        <v>100</v>
      </c>
      <c r="I4" s="37" t="s">
        <v>89</v>
      </c>
      <c r="J4" s="37">
        <v>1</v>
      </c>
      <c r="K4" s="37"/>
      <c r="L4" s="37" t="s">
        <v>90</v>
      </c>
      <c r="M4" s="14"/>
      <c r="N4" s="37" t="s">
        <v>91</v>
      </c>
      <c r="O4" s="37"/>
      <c r="P4" s="37" t="s">
        <v>92</v>
      </c>
      <c r="Q4" s="37"/>
      <c r="R4" s="37" t="s">
        <v>92</v>
      </c>
      <c r="S4" s="14"/>
      <c r="T4" s="37" t="s">
        <v>92</v>
      </c>
    </row>
    <row r="5" spans="1:20" x14ac:dyDescent="0.3">
      <c r="A5" s="35">
        <v>4</v>
      </c>
      <c r="B5" s="36" t="s">
        <v>101</v>
      </c>
      <c r="C5" s="37"/>
      <c r="D5" s="37" t="s">
        <v>92</v>
      </c>
      <c r="E5" s="37" t="s">
        <v>99</v>
      </c>
      <c r="F5" s="37" t="s">
        <v>102</v>
      </c>
      <c r="G5" s="37" t="s">
        <v>103</v>
      </c>
      <c r="H5" s="37" t="s">
        <v>104</v>
      </c>
      <c r="I5" s="37" t="s">
        <v>89</v>
      </c>
      <c r="J5" s="37">
        <v>1</v>
      </c>
      <c r="K5" s="37"/>
      <c r="L5" s="37" t="s">
        <v>90</v>
      </c>
      <c r="M5" s="14"/>
      <c r="N5" s="37" t="s">
        <v>91</v>
      </c>
      <c r="O5" s="37"/>
      <c r="P5" s="37" t="s">
        <v>92</v>
      </c>
      <c r="Q5" s="37"/>
      <c r="R5" s="37" t="s">
        <v>92</v>
      </c>
      <c r="S5" s="14"/>
      <c r="T5" s="37" t="s">
        <v>92</v>
      </c>
    </row>
    <row r="6" spans="1:20" x14ac:dyDescent="0.3">
      <c r="A6" s="35">
        <v>5</v>
      </c>
      <c r="B6" s="36" t="s">
        <v>146</v>
      </c>
      <c r="C6" s="37"/>
      <c r="D6" s="37" t="s">
        <v>147</v>
      </c>
      <c r="E6" s="37" t="s">
        <v>148</v>
      </c>
      <c r="F6" s="37" t="s">
        <v>102</v>
      </c>
      <c r="G6" s="37" t="s">
        <v>96</v>
      </c>
      <c r="H6" s="37" t="s">
        <v>149</v>
      </c>
      <c r="I6" s="37" t="s">
        <v>89</v>
      </c>
      <c r="J6" s="37">
        <v>1</v>
      </c>
      <c r="K6" s="37"/>
      <c r="L6" s="37" t="s">
        <v>90</v>
      </c>
      <c r="M6" s="37" t="s">
        <v>24</v>
      </c>
      <c r="N6" s="37" t="s">
        <v>91</v>
      </c>
      <c r="O6" s="37" t="s">
        <v>24</v>
      </c>
      <c r="P6" s="37" t="s">
        <v>92</v>
      </c>
      <c r="Q6" s="37" t="s">
        <v>24</v>
      </c>
      <c r="R6" s="37" t="s">
        <v>92</v>
      </c>
      <c r="S6" s="37" t="s">
        <v>24</v>
      </c>
      <c r="T6" s="37" t="s">
        <v>92</v>
      </c>
    </row>
    <row r="7" spans="1:20" x14ac:dyDescent="0.3">
      <c r="A7" s="35">
        <v>6</v>
      </c>
      <c r="B7" s="36" t="s">
        <v>158</v>
      </c>
      <c r="C7" s="37"/>
      <c r="D7" s="37" t="s">
        <v>159</v>
      </c>
      <c r="E7" s="37" t="s">
        <v>99</v>
      </c>
      <c r="F7" s="37" t="s">
        <v>102</v>
      </c>
      <c r="G7" s="37" t="s">
        <v>96</v>
      </c>
      <c r="H7" s="38" t="s">
        <v>160</v>
      </c>
      <c r="I7" s="37" t="s">
        <v>161</v>
      </c>
      <c r="J7" s="37">
        <v>1</v>
      </c>
      <c r="K7" s="37" t="s">
        <v>24</v>
      </c>
      <c r="L7" s="37" t="s">
        <v>90</v>
      </c>
      <c r="M7" s="37" t="s">
        <v>24</v>
      </c>
      <c r="N7" s="37" t="s">
        <v>24</v>
      </c>
      <c r="O7" s="37" t="s">
        <v>24</v>
      </c>
      <c r="P7" s="37" t="s">
        <v>92</v>
      </c>
      <c r="Q7" s="37" t="s">
        <v>24</v>
      </c>
      <c r="R7" s="37" t="s">
        <v>24</v>
      </c>
      <c r="S7" s="37" t="s">
        <v>24</v>
      </c>
      <c r="T7" s="37" t="s">
        <v>24</v>
      </c>
    </row>
    <row r="8" spans="1:20" s="46" customFormat="1" x14ac:dyDescent="0.3">
      <c r="A8" s="43">
        <v>7</v>
      </c>
      <c r="B8" s="44" t="s">
        <v>173</v>
      </c>
      <c r="C8" s="45"/>
      <c r="D8" s="45" t="s">
        <v>174</v>
      </c>
      <c r="E8" s="45" t="s">
        <v>99</v>
      </c>
      <c r="F8" s="45" t="s">
        <v>112</v>
      </c>
      <c r="G8" s="45" t="s">
        <v>103</v>
      </c>
      <c r="H8" s="45" t="s">
        <v>175</v>
      </c>
      <c r="I8" s="45" t="s">
        <v>92</v>
      </c>
      <c r="J8" s="45" t="s">
        <v>92</v>
      </c>
      <c r="K8" s="45" t="s">
        <v>92</v>
      </c>
      <c r="L8" s="45" t="s">
        <v>92</v>
      </c>
      <c r="M8" s="45" t="s">
        <v>92</v>
      </c>
      <c r="N8" s="45" t="s">
        <v>91</v>
      </c>
      <c r="O8" s="45" t="s">
        <v>92</v>
      </c>
      <c r="P8" s="45" t="s">
        <v>92</v>
      </c>
      <c r="Q8" s="45" t="s">
        <v>92</v>
      </c>
      <c r="R8" s="45" t="s">
        <v>92</v>
      </c>
      <c r="S8" s="45" t="s">
        <v>92</v>
      </c>
      <c r="T8" s="45" t="s">
        <v>92</v>
      </c>
    </row>
    <row r="9" spans="1:20" x14ac:dyDescent="0.3">
      <c r="A9" s="35">
        <v>8</v>
      </c>
      <c r="B9" s="14" t="s">
        <v>191</v>
      </c>
      <c r="C9" s="14"/>
      <c r="D9" s="37" t="s">
        <v>192</v>
      </c>
      <c r="E9" s="37" t="s">
        <v>99</v>
      </c>
      <c r="F9" s="37" t="s">
        <v>86</v>
      </c>
      <c r="G9" s="37" t="s">
        <v>96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0" x14ac:dyDescent="0.3">
      <c r="A10" s="35">
        <v>9</v>
      </c>
      <c r="B10" s="14" t="s">
        <v>193</v>
      </c>
      <c r="C10" s="14"/>
      <c r="D10" s="37" t="s">
        <v>202</v>
      </c>
      <c r="E10" s="37" t="s">
        <v>99</v>
      </c>
      <c r="F10" s="37" t="s">
        <v>86</v>
      </c>
      <c r="G10" s="37" t="s">
        <v>103</v>
      </c>
      <c r="H10" s="14" t="s">
        <v>194</v>
      </c>
      <c r="I10" s="14" t="s">
        <v>92</v>
      </c>
      <c r="J10" s="14" t="s">
        <v>92</v>
      </c>
      <c r="K10" s="14" t="s">
        <v>92</v>
      </c>
      <c r="L10" s="14" t="s">
        <v>90</v>
      </c>
      <c r="M10" s="14" t="s">
        <v>195</v>
      </c>
      <c r="N10" s="14" t="s">
        <v>91</v>
      </c>
      <c r="O10" s="14" t="s">
        <v>92</v>
      </c>
      <c r="P10" s="14" t="s">
        <v>92</v>
      </c>
      <c r="Q10" s="14" t="s">
        <v>92</v>
      </c>
      <c r="R10" s="14" t="s">
        <v>92</v>
      </c>
      <c r="S10" s="14" t="s">
        <v>92</v>
      </c>
      <c r="T10" s="14" t="s">
        <v>92</v>
      </c>
    </row>
    <row r="11" spans="1:20" x14ac:dyDescent="0.3">
      <c r="A11" s="35">
        <v>10</v>
      </c>
      <c r="B11" s="14" t="s">
        <v>203</v>
      </c>
      <c r="C11" s="14"/>
      <c r="D11" s="37" t="s">
        <v>204</v>
      </c>
      <c r="E11" s="37" t="s">
        <v>99</v>
      </c>
      <c r="F11" s="37" t="s">
        <v>102</v>
      </c>
      <c r="G11" s="37" t="s">
        <v>96</v>
      </c>
      <c r="H11" s="14" t="s">
        <v>205</v>
      </c>
      <c r="I11" s="14" t="s">
        <v>92</v>
      </c>
      <c r="J11" s="14" t="s">
        <v>92</v>
      </c>
      <c r="K11" s="14" t="s">
        <v>92</v>
      </c>
      <c r="L11" s="14" t="s">
        <v>90</v>
      </c>
      <c r="M11" s="14" t="s">
        <v>195</v>
      </c>
      <c r="N11" s="14" t="s">
        <v>91</v>
      </c>
      <c r="O11" s="14" t="s">
        <v>92</v>
      </c>
      <c r="P11" s="14" t="s">
        <v>92</v>
      </c>
      <c r="Q11" s="14" t="s">
        <v>92</v>
      </c>
      <c r="R11" s="14" t="s">
        <v>92</v>
      </c>
      <c r="S11" s="14" t="s">
        <v>92</v>
      </c>
      <c r="T11" s="14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4EA9-820D-4801-A189-33AD5040843C}">
  <dimension ref="A1:T10"/>
  <sheetViews>
    <sheetView zoomScale="130" zoomScaleNormal="130" workbookViewId="0">
      <selection activeCell="B10" sqref="B10"/>
    </sheetView>
  </sheetViews>
  <sheetFormatPr defaultColWidth="9.109375" defaultRowHeight="14.4" x14ac:dyDescent="0.3"/>
  <cols>
    <col min="1" max="1" width="3.21875" style="2" customWidth="1"/>
    <col min="2" max="2" width="15" style="40" customWidth="1"/>
    <col min="3" max="3" width="15.5546875" style="2" customWidth="1"/>
    <col min="4" max="4" width="20.109375" style="2" customWidth="1"/>
    <col min="5" max="5" width="17.21875" style="2" customWidth="1"/>
    <col min="6" max="6" width="9.109375" style="2"/>
    <col min="7" max="7" width="14.21875" style="2" bestFit="1" customWidth="1"/>
    <col min="8" max="8" width="15" style="2" customWidth="1"/>
    <col min="9" max="10" width="9.109375" style="2"/>
    <col min="11" max="11" width="17.21875" style="2" bestFit="1" customWidth="1"/>
    <col min="12" max="12" width="17.21875" style="2" customWidth="1"/>
    <col min="13" max="14" width="9.109375" style="2"/>
    <col min="15" max="15" width="19.44140625" style="2" customWidth="1"/>
    <col min="16" max="16" width="14.88671875" style="2" customWidth="1"/>
    <col min="17" max="19" width="9.109375" style="2"/>
    <col min="20" max="20" width="18.21875" style="2" customWidth="1"/>
    <col min="21" max="16384" width="9.109375" style="2"/>
  </cols>
  <sheetData>
    <row r="1" spans="1:20" x14ac:dyDescent="0.3">
      <c r="A1" s="25" t="s">
        <v>64</v>
      </c>
      <c r="B1" s="41" t="s">
        <v>65</v>
      </c>
      <c r="C1" s="25" t="s">
        <v>66</v>
      </c>
      <c r="D1" s="25" t="s">
        <v>105</v>
      </c>
      <c r="E1" s="25" t="s">
        <v>68</v>
      </c>
      <c r="F1" s="25" t="s">
        <v>69</v>
      </c>
      <c r="G1" s="25" t="s">
        <v>70</v>
      </c>
      <c r="H1" s="25" t="s">
        <v>106</v>
      </c>
      <c r="I1" s="25" t="s">
        <v>72</v>
      </c>
      <c r="J1" s="25" t="s">
        <v>73</v>
      </c>
      <c r="K1" s="25" t="s">
        <v>74</v>
      </c>
      <c r="L1" s="25" t="s">
        <v>75</v>
      </c>
      <c r="M1" s="25" t="s">
        <v>76</v>
      </c>
      <c r="N1" s="25" t="s">
        <v>77</v>
      </c>
      <c r="O1" s="25" t="s">
        <v>78</v>
      </c>
      <c r="P1" s="25" t="s">
        <v>79</v>
      </c>
      <c r="Q1" s="25" t="s">
        <v>80</v>
      </c>
      <c r="R1" s="25" t="s">
        <v>81</v>
      </c>
      <c r="S1" s="26" t="s">
        <v>107</v>
      </c>
      <c r="T1" s="25" t="s">
        <v>82</v>
      </c>
    </row>
    <row r="2" spans="1:20" ht="30.45" customHeight="1" x14ac:dyDescent="0.3">
      <c r="A2" s="4">
        <v>1</v>
      </c>
      <c r="B2" s="3" t="s">
        <v>108</v>
      </c>
      <c r="C2" s="4" t="s">
        <v>109</v>
      </c>
      <c r="D2" s="4" t="s">
        <v>110</v>
      </c>
      <c r="E2" s="4" t="s">
        <v>111</v>
      </c>
      <c r="F2" s="4" t="s">
        <v>112</v>
      </c>
      <c r="G2" s="4" t="s">
        <v>113</v>
      </c>
      <c r="H2" s="4" t="s">
        <v>92</v>
      </c>
      <c r="I2" s="4" t="s">
        <v>114</v>
      </c>
      <c r="J2" s="4">
        <v>2</v>
      </c>
      <c r="K2" s="17" t="s">
        <v>115</v>
      </c>
      <c r="L2" s="4" t="s">
        <v>116</v>
      </c>
      <c r="M2" s="4" t="s">
        <v>117</v>
      </c>
      <c r="N2" s="4" t="s">
        <v>118</v>
      </c>
      <c r="O2" s="27" t="s">
        <v>119</v>
      </c>
      <c r="P2" s="4" t="s">
        <v>120</v>
      </c>
      <c r="Q2" s="27" t="s">
        <v>121</v>
      </c>
      <c r="R2" s="4" t="s">
        <v>120</v>
      </c>
      <c r="S2" s="4" t="s">
        <v>92</v>
      </c>
      <c r="T2" s="4" t="s">
        <v>92</v>
      </c>
    </row>
    <row r="3" spans="1:20" ht="55.2" x14ac:dyDescent="0.3">
      <c r="A3" s="4">
        <v>2</v>
      </c>
      <c r="B3" s="3" t="s">
        <v>122</v>
      </c>
      <c r="C3" s="4" t="s">
        <v>109</v>
      </c>
      <c r="D3" s="4" t="s">
        <v>123</v>
      </c>
      <c r="E3" s="4" t="s">
        <v>124</v>
      </c>
      <c r="F3" s="4" t="s">
        <v>112</v>
      </c>
      <c r="G3" s="4" t="s">
        <v>113</v>
      </c>
      <c r="H3" s="4" t="s">
        <v>92</v>
      </c>
      <c r="I3" s="4" t="s">
        <v>114</v>
      </c>
      <c r="J3" s="4">
        <v>2</v>
      </c>
      <c r="K3" s="28" t="s">
        <v>125</v>
      </c>
      <c r="L3" s="4" t="s">
        <v>116</v>
      </c>
      <c r="M3" s="27" t="s">
        <v>126</v>
      </c>
      <c r="N3" s="4" t="s">
        <v>120</v>
      </c>
      <c r="O3" s="27" t="s">
        <v>127</v>
      </c>
      <c r="P3" s="4" t="s">
        <v>120</v>
      </c>
      <c r="Q3" s="27" t="s">
        <v>121</v>
      </c>
      <c r="R3" s="4" t="s">
        <v>120</v>
      </c>
      <c r="S3" s="4" t="s">
        <v>92</v>
      </c>
      <c r="T3" s="4" t="s">
        <v>92</v>
      </c>
    </row>
    <row r="4" spans="1:20" x14ac:dyDescent="0.3">
      <c r="A4" s="4">
        <v>3</v>
      </c>
      <c r="B4" s="3" t="s">
        <v>151</v>
      </c>
      <c r="C4" s="4" t="s">
        <v>152</v>
      </c>
      <c r="D4" s="4" t="s">
        <v>153</v>
      </c>
      <c r="E4" s="4" t="s">
        <v>154</v>
      </c>
      <c r="F4" s="4" t="s">
        <v>112</v>
      </c>
      <c r="G4" s="4" t="s">
        <v>113</v>
      </c>
      <c r="H4" s="4" t="s">
        <v>92</v>
      </c>
      <c r="I4" s="4" t="s">
        <v>92</v>
      </c>
      <c r="J4" s="4">
        <v>2</v>
      </c>
      <c r="K4" s="4" t="s">
        <v>92</v>
      </c>
      <c r="L4" s="4" t="s">
        <v>116</v>
      </c>
      <c r="M4" s="27" t="s">
        <v>126</v>
      </c>
      <c r="N4" s="4" t="s">
        <v>120</v>
      </c>
      <c r="O4" s="27" t="s">
        <v>127</v>
      </c>
      <c r="P4" s="4" t="s">
        <v>120</v>
      </c>
      <c r="Q4" s="27" t="s">
        <v>121</v>
      </c>
      <c r="R4" s="4" t="s">
        <v>120</v>
      </c>
      <c r="S4" s="4" t="s">
        <v>92</v>
      </c>
      <c r="T4" s="4" t="s">
        <v>92</v>
      </c>
    </row>
    <row r="5" spans="1:20" x14ac:dyDescent="0.3">
      <c r="A5" s="4">
        <v>4</v>
      </c>
      <c r="B5" s="3" t="s">
        <v>155</v>
      </c>
      <c r="C5" s="4" t="s">
        <v>109</v>
      </c>
      <c r="D5" s="4" t="s">
        <v>156</v>
      </c>
      <c r="E5" s="4" t="s">
        <v>157</v>
      </c>
      <c r="F5" s="4" t="s">
        <v>112</v>
      </c>
      <c r="G5" s="4" t="s">
        <v>113</v>
      </c>
      <c r="H5" s="4" t="s">
        <v>92</v>
      </c>
      <c r="I5" s="4" t="s">
        <v>92</v>
      </c>
      <c r="J5" s="4">
        <v>2</v>
      </c>
      <c r="K5" s="4" t="s">
        <v>92</v>
      </c>
      <c r="L5" s="4" t="s">
        <v>116</v>
      </c>
      <c r="M5" s="27" t="s">
        <v>126</v>
      </c>
      <c r="N5" s="4" t="s">
        <v>120</v>
      </c>
      <c r="O5" s="27" t="s">
        <v>127</v>
      </c>
      <c r="P5" s="4" t="s">
        <v>120</v>
      </c>
      <c r="Q5" s="27" t="s">
        <v>121</v>
      </c>
      <c r="R5" s="4" t="s">
        <v>120</v>
      </c>
      <c r="S5" s="4" t="s">
        <v>92</v>
      </c>
      <c r="T5" s="4" t="s">
        <v>92</v>
      </c>
    </row>
    <row r="6" spans="1:20" x14ac:dyDescent="0.3">
      <c r="A6" s="4">
        <v>5</v>
      </c>
      <c r="B6" s="3" t="s">
        <v>162</v>
      </c>
      <c r="C6" s="4" t="s">
        <v>163</v>
      </c>
      <c r="D6" s="4" t="s">
        <v>164</v>
      </c>
      <c r="E6" s="4" t="s">
        <v>165</v>
      </c>
      <c r="F6" s="4" t="s">
        <v>112</v>
      </c>
      <c r="G6" s="4" t="s">
        <v>113</v>
      </c>
      <c r="H6" s="4" t="s">
        <v>92</v>
      </c>
      <c r="I6" s="4" t="s">
        <v>92</v>
      </c>
      <c r="J6" s="4">
        <v>2</v>
      </c>
      <c r="K6" s="4" t="s">
        <v>92</v>
      </c>
      <c r="L6" s="4" t="s">
        <v>116</v>
      </c>
      <c r="M6" s="4" t="s">
        <v>166</v>
      </c>
      <c r="N6" s="4" t="s">
        <v>120</v>
      </c>
      <c r="O6" s="4" t="s">
        <v>167</v>
      </c>
      <c r="P6" s="4" t="s">
        <v>120</v>
      </c>
      <c r="Q6" s="4" t="s">
        <v>168</v>
      </c>
      <c r="R6" s="4" t="s">
        <v>120</v>
      </c>
      <c r="S6" s="4" t="s">
        <v>92</v>
      </c>
      <c r="T6" s="4" t="s">
        <v>92</v>
      </c>
    </row>
    <row r="7" spans="1:20" x14ac:dyDescent="0.3">
      <c r="A7" s="4">
        <v>6</v>
      </c>
      <c r="B7" s="3" t="s">
        <v>179</v>
      </c>
      <c r="C7" s="4" t="s">
        <v>180</v>
      </c>
      <c r="D7" s="4" t="s">
        <v>178</v>
      </c>
      <c r="E7" s="4" t="s">
        <v>181</v>
      </c>
      <c r="F7" s="4" t="s">
        <v>182</v>
      </c>
      <c r="G7" s="4" t="s">
        <v>183</v>
      </c>
      <c r="H7" s="4" t="s">
        <v>92</v>
      </c>
      <c r="I7" s="4" t="s">
        <v>92</v>
      </c>
      <c r="J7" s="4">
        <v>2</v>
      </c>
      <c r="K7" s="4" t="s">
        <v>92</v>
      </c>
      <c r="L7" s="4" t="s">
        <v>116</v>
      </c>
      <c r="M7" s="4"/>
      <c r="N7" s="4"/>
      <c r="O7" s="4"/>
      <c r="P7" s="4"/>
      <c r="Q7" s="4"/>
      <c r="R7" s="4"/>
      <c r="S7" s="4"/>
      <c r="T7" s="4" t="s">
        <v>92</v>
      </c>
    </row>
    <row r="8" spans="1:20" x14ac:dyDescent="0.3">
      <c r="A8" s="4">
        <v>7</v>
      </c>
      <c r="B8" s="3" t="s">
        <v>184</v>
      </c>
      <c r="C8" s="4" t="s">
        <v>185</v>
      </c>
      <c r="D8" s="4" t="s">
        <v>186</v>
      </c>
      <c r="E8" s="4" t="s">
        <v>187</v>
      </c>
      <c r="F8" s="4" t="s">
        <v>112</v>
      </c>
      <c r="G8" s="4" t="s">
        <v>113</v>
      </c>
      <c r="H8" s="4" t="s">
        <v>92</v>
      </c>
      <c r="I8" s="4" t="s">
        <v>92</v>
      </c>
      <c r="J8" s="4">
        <v>2</v>
      </c>
      <c r="K8" s="4" t="s">
        <v>92</v>
      </c>
      <c r="L8" s="4" t="s">
        <v>116</v>
      </c>
      <c r="M8" s="4"/>
      <c r="N8" s="4"/>
      <c r="O8" s="4"/>
      <c r="P8" s="4"/>
      <c r="Q8" s="4"/>
      <c r="R8" s="4"/>
      <c r="S8" s="4"/>
      <c r="T8" s="4"/>
    </row>
    <row r="9" spans="1:20" ht="28.8" x14ac:dyDescent="0.3">
      <c r="A9" s="4">
        <v>8</v>
      </c>
      <c r="B9" s="3" t="s">
        <v>188</v>
      </c>
      <c r="C9" s="4" t="s">
        <v>189</v>
      </c>
      <c r="D9" s="4" t="s">
        <v>190</v>
      </c>
      <c r="E9" s="4" t="s">
        <v>181</v>
      </c>
      <c r="F9" s="4" t="s">
        <v>182</v>
      </c>
      <c r="G9" s="4" t="s">
        <v>183</v>
      </c>
      <c r="H9" s="4" t="s">
        <v>197</v>
      </c>
      <c r="I9" s="4" t="s">
        <v>89</v>
      </c>
      <c r="J9" s="4">
        <v>2</v>
      </c>
      <c r="K9" s="42" t="s">
        <v>196</v>
      </c>
      <c r="L9" s="4" t="s">
        <v>116</v>
      </c>
      <c r="M9" s="4" t="s">
        <v>198</v>
      </c>
      <c r="N9" s="4" t="s">
        <v>118</v>
      </c>
      <c r="O9" s="4" t="s">
        <v>199</v>
      </c>
      <c r="P9" s="4" t="s">
        <v>118</v>
      </c>
      <c r="Q9" s="4" t="s">
        <v>200</v>
      </c>
      <c r="R9" s="4" t="s">
        <v>120</v>
      </c>
      <c r="S9" s="4" t="s">
        <v>201</v>
      </c>
      <c r="T9" s="4" t="s">
        <v>92</v>
      </c>
    </row>
    <row r="10" spans="1:20" x14ac:dyDescent="0.3">
      <c r="A10" s="4">
        <v>9</v>
      </c>
      <c r="B10" s="3" t="s">
        <v>206</v>
      </c>
      <c r="C10" s="4" t="s">
        <v>109</v>
      </c>
      <c r="D10" s="2" t="s">
        <v>207</v>
      </c>
      <c r="E10" s="4" t="s">
        <v>208</v>
      </c>
      <c r="F10" s="4" t="s">
        <v>112</v>
      </c>
      <c r="G10" s="4" t="s">
        <v>113</v>
      </c>
      <c r="H10" s="4" t="s">
        <v>209</v>
      </c>
      <c r="I10" s="4" t="s">
        <v>89</v>
      </c>
      <c r="J10" s="4">
        <v>2</v>
      </c>
      <c r="K10" s="42" t="s">
        <v>92</v>
      </c>
      <c r="L10" s="4" t="s">
        <v>116</v>
      </c>
      <c r="M10" s="4" t="s">
        <v>92</v>
      </c>
      <c r="N10" s="4" t="s">
        <v>120</v>
      </c>
      <c r="O10" s="4" t="s">
        <v>92</v>
      </c>
      <c r="P10" s="4" t="s">
        <v>120</v>
      </c>
      <c r="Q10" s="4" t="s">
        <v>92</v>
      </c>
      <c r="R10" s="4" t="s">
        <v>120</v>
      </c>
      <c r="S10" s="4" t="s">
        <v>92</v>
      </c>
      <c r="T10" s="4" t="s">
        <v>92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01CD-CB20-4619-81C1-42D3684C7C05}">
  <dimension ref="A1:B8"/>
  <sheetViews>
    <sheetView workbookViewId="0">
      <selection activeCell="E18" sqref="E18"/>
    </sheetView>
  </sheetViews>
  <sheetFormatPr defaultRowHeight="14.4" x14ac:dyDescent="0.3"/>
  <cols>
    <col min="2" max="2" width="41.44140625" customWidth="1"/>
  </cols>
  <sheetData>
    <row r="1" spans="1:2" x14ac:dyDescent="0.3">
      <c r="A1" s="12" t="s">
        <v>128</v>
      </c>
      <c r="B1" s="12" t="s">
        <v>129</v>
      </c>
    </row>
    <row r="2" spans="1:2" x14ac:dyDescent="0.3">
      <c r="A2" s="14" t="s">
        <v>130</v>
      </c>
      <c r="B2" s="14" t="s">
        <v>131</v>
      </c>
    </row>
    <row r="3" spans="1:2" x14ac:dyDescent="0.3">
      <c r="A3" s="14" t="s">
        <v>132</v>
      </c>
      <c r="B3" s="14" t="s">
        <v>133</v>
      </c>
    </row>
    <row r="4" spans="1:2" x14ac:dyDescent="0.3">
      <c r="A4" s="14" t="s">
        <v>134</v>
      </c>
      <c r="B4" s="14" t="s">
        <v>135</v>
      </c>
    </row>
    <row r="5" spans="1:2" x14ac:dyDescent="0.3">
      <c r="A5" s="14" t="s">
        <v>136</v>
      </c>
      <c r="B5" s="14" t="s">
        <v>137</v>
      </c>
    </row>
    <row r="6" spans="1:2" x14ac:dyDescent="0.3">
      <c r="A6" s="14" t="s">
        <v>138</v>
      </c>
      <c r="B6" s="14" t="s">
        <v>139</v>
      </c>
    </row>
    <row r="7" spans="1:2" x14ac:dyDescent="0.3">
      <c r="A7" s="14" t="s">
        <v>140</v>
      </c>
      <c r="B7" s="14" t="s">
        <v>141</v>
      </c>
    </row>
    <row r="8" spans="1:2" x14ac:dyDescent="0.3">
      <c r="A8" s="14" t="s">
        <v>142</v>
      </c>
      <c r="B8" s="1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STOCKS</vt:lpstr>
      <vt:lpstr>LAPTOP</vt:lpstr>
      <vt:lpstr>PC</vt:lpstr>
      <vt:lpstr>Sheet1</vt:lpstr>
      <vt:lpstr>STOCKS!Print_Area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 | Resource Staffing Solutions</dc:creator>
  <cp:keywords/>
  <dc:description/>
  <cp:lastModifiedBy>Bon Patacsil | Resource Staffing Solutions</cp:lastModifiedBy>
  <cp:revision/>
  <cp:lastPrinted>2026-06-02T00:30:06Z</cp:lastPrinted>
  <dcterms:created xsi:type="dcterms:W3CDTF">2026-02-02T03:48:03Z</dcterms:created>
  <dcterms:modified xsi:type="dcterms:W3CDTF">2026-06-02T03:15:03Z</dcterms:modified>
  <cp:category/>
  <cp:contentStatus/>
</cp:coreProperties>
</file>